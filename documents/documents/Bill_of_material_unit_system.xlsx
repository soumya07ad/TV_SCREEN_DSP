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DKG_lab\Tv_crack\documents\"/>
    </mc:Choice>
  </mc:AlternateContent>
  <bookViews>
    <workbookView xWindow="0" yWindow="0" windowWidth="20490" windowHeight="7755"/>
  </bookViews>
  <sheets>
    <sheet name="BOM" sheetId="1" r:id="rId1"/>
    <sheet name="rate_manual 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5" i="1" l="1"/>
  <c r="E16" i="1" s="1"/>
  <c r="E14" i="1" l="1"/>
  <c r="E13" i="1"/>
  <c r="E12" i="1"/>
  <c r="E11" i="1"/>
  <c r="E10" i="1"/>
  <c r="E8" i="1"/>
  <c r="E4" i="1"/>
  <c r="E5" i="1"/>
  <c r="E6" i="1"/>
  <c r="E7" i="1"/>
  <c r="E9" i="1"/>
  <c r="E3" i="1"/>
</calcChain>
</file>

<file path=xl/sharedStrings.xml><?xml version="1.0" encoding="utf-8"?>
<sst xmlns="http://schemas.openxmlformats.org/spreadsheetml/2006/main" count="54" uniqueCount="38">
  <si>
    <t>S.No</t>
  </si>
  <si>
    <t xml:space="preserve">Item </t>
  </si>
  <si>
    <t>ME6211C33M5G-N-MICRONE-500mA Fixed 3.3V Positive electrode 6V SOT-23-5 Voltage Regulators – Linear, Low Drop Out (LDO) Regulators ROHS</t>
  </si>
  <si>
    <t>LM358P PDIP-8 High Gain Operational Amplifier</t>
  </si>
  <si>
    <t xml:space="preserve">Qunatity </t>
  </si>
  <si>
    <t>Piezo Buzzer 35mm</t>
  </si>
  <si>
    <t>ESP32-C3 Super Mini Development Board UnSoldered Headers</t>
  </si>
  <si>
    <t>18650 Li-ion Battery ,TP4056 charging module,1S battery holder combo</t>
  </si>
  <si>
    <t>24AWG Silicone Braided Wire – Black</t>
  </si>
  <si>
    <t>total price</t>
  </si>
  <si>
    <t xml:space="preserve">unit price </t>
  </si>
  <si>
    <t>total</t>
  </si>
  <si>
    <t>1.5-5V DC Vibration Motor with Wire</t>
  </si>
  <si>
    <t xml:space="preserve">Vendore / site </t>
  </si>
  <si>
    <t>Robu</t>
  </si>
  <si>
    <t xml:space="preserve">Robu </t>
  </si>
  <si>
    <t xml:space="preserve">PCB and Component Also added </t>
  </si>
  <si>
    <t>100k Ohm 0.5W Metal Film Resistor</t>
  </si>
  <si>
    <t>4.7 kOhms ±5% 0.063W, 1/16W Chip Resistor 0402 (1005 Metric) Thick Film</t>
  </si>
  <si>
    <t>0.1uF Capacitor SMD:C 0603</t>
  </si>
  <si>
    <t>33k Ohm 0.5W Metal Film Resistor</t>
  </si>
  <si>
    <t>https://www.skynetrobotics.in/products/18650-li-ion-battery-tp4056-charging-module-1s-battery-holder-combo</t>
  </si>
  <si>
    <t>https://techtonics.in/product/esp32-c3-super-mini-development-board-soldered-headers</t>
  </si>
  <si>
    <t>alibaba</t>
  </si>
  <si>
    <t xml:space="preserve">Indian Vendore </t>
  </si>
  <si>
    <t xml:space="preserve">supplier </t>
  </si>
  <si>
    <t>94-145</t>
  </si>
  <si>
    <t>https://szyonglisheng.en.alibaba.com/index.html?spm=a2700.details.0.0.558a71dfxwH3bD&amp;from=detail&amp;productId=1601407537442</t>
  </si>
  <si>
    <t>93-9</t>
  </si>
  <si>
    <t>https://hcjmotor.en.alibaba.com/index.html?spm=a2700.details.0.0.56c42ef9jzJysO&amp;from=detail&amp;productId=1601436402566</t>
  </si>
  <si>
    <t>47-41</t>
  </si>
  <si>
    <t>80-38</t>
  </si>
  <si>
    <t>NR</t>
  </si>
  <si>
    <t xml:space="preserve">HALL SENSOR Module </t>
  </si>
  <si>
    <t>https://quartzcomponents.com/products/hall-sensor-module?pr_prod_strat=e5_desc&amp;pr_rec_id=65d18de98&amp;pr_rec_pid=4491697389703&amp;pr_ref_pid=4491696668807&amp;pr_seq=uniform</t>
  </si>
  <si>
    <t>https://www.alibaba.com/product-detail/magnetic-hall-sensor-for-KY-024_60766777719.html?spm=a2700.prosearch.normal_offer.3.296667afnElu0I&amp;priceId=7aed6f153f2342579fb06ec255fd3cc3</t>
  </si>
  <si>
    <t>47-10</t>
  </si>
  <si>
    <t xml:space="preserve">5 k ohm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</si>
</sst>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1">
    <xf numFmtId="0" fontId="0" fillId="0" borderId="0" xfId="0"/>
    <xf numFmtId="0" fontId="1" fillId="0" borderId="0" xfId="0" applyFont="1"/>
    <xf numFmtId="0" fontId="0" fillId="2" borderId="0" xfId="0" applyFill="1"/>
    <xf numFmtId="0" fontId="0" fillId="0" borderId="0" xfId="0" applyAlignment="1">
      <alignment wrapText="1"/>
    </xf>
    <xf numFmtId="0" fontId="1" fillId="0" borderId="1" xfId="0" applyFont="1" applyBorder="1"/>
    <xf numFmtId="0" fontId="0" fillId="3" borderId="1" xfId="0" applyFill="1" applyBorder="1" applyAlignment="1">
      <alignment horizontal="center" wrapText="1"/>
    </xf>
    <xf numFmtId="0" fontId="0" fillId="4" borderId="1" xfId="0" applyFill="1" applyBorder="1" applyAlignment="1">
      <alignment horizontal="center"/>
    </xf>
    <xf numFmtId="0" fontId="1" fillId="0" borderId="1" xfId="0" applyFont="1" applyBorder="1" applyAlignment="1">
      <alignment wrapText="1"/>
    </xf>
    <xf numFmtId="0" fontId="0" fillId="0" borderId="1" xfId="0" applyBorder="1" applyAlignment="1">
      <alignment wrapText="1"/>
    </xf>
    <xf numFmtId="0" fontId="0" fillId="0" borderId="1" xfId="0" applyBorder="1"/>
    <xf numFmtId="0" fontId="2" fillId="0" borderId="1" xfId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7</xdr:col>
      <xdr:colOff>228038</xdr:colOff>
      <xdr:row>29</xdr:row>
      <xdr:rowOff>123119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4495238" cy="5647619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0</xdr:row>
      <xdr:rowOff>0</xdr:rowOff>
    </xdr:from>
    <xdr:to>
      <xdr:col>14</xdr:col>
      <xdr:colOff>599543</xdr:colOff>
      <xdr:row>26</xdr:row>
      <xdr:rowOff>56524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876800" y="0"/>
          <a:ext cx="4257143" cy="5009524"/>
        </a:xfrm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1</xdr:row>
      <xdr:rowOff>0</xdr:rowOff>
    </xdr:from>
    <xdr:to>
      <xdr:col>33</xdr:col>
      <xdr:colOff>608152</xdr:colOff>
      <xdr:row>26</xdr:row>
      <xdr:rowOff>180357</xdr:rowOff>
    </xdr:to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9144000" y="190500"/>
          <a:ext cx="11580952" cy="4942857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33</xdr:row>
      <xdr:rowOff>0</xdr:rowOff>
    </xdr:from>
    <xdr:to>
      <xdr:col>18</xdr:col>
      <xdr:colOff>331962</xdr:colOff>
      <xdr:row>58</xdr:row>
      <xdr:rowOff>142262</xdr:rowOff>
    </xdr:to>
    <xdr:pic>
      <xdr:nvPicPr>
        <xdr:cNvPr id="5" name="Picture 4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6286500"/>
          <a:ext cx="11304762" cy="490476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60</xdr:row>
      <xdr:rowOff>0</xdr:rowOff>
    </xdr:from>
    <xdr:to>
      <xdr:col>19</xdr:col>
      <xdr:colOff>122362</xdr:colOff>
      <xdr:row>86</xdr:row>
      <xdr:rowOff>8905</xdr:rowOff>
    </xdr:to>
    <xdr:pic>
      <xdr:nvPicPr>
        <xdr:cNvPr id="6" name="Picture 5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0" y="11430000"/>
          <a:ext cx="11704762" cy="496190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techtonics.in/product/esp32-c3-super-mini-development-board-soldered-headers" TargetMode="External"/><Relationship Id="rId1" Type="http://schemas.openxmlformats.org/officeDocument/2006/relationships/hyperlink" Target="https://www.skynetrobotics.in/products/18650-li-ion-battery-tp4056-charging-module-1s-battery-holder-combo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8"/>
  <sheetViews>
    <sheetView tabSelected="1" workbookViewId="0">
      <selection activeCell="G5" sqref="G5"/>
    </sheetView>
  </sheetViews>
  <sheetFormatPr defaultRowHeight="15" x14ac:dyDescent="0.25"/>
  <cols>
    <col min="1" max="1" width="9.140625" style="1"/>
    <col min="2" max="2" width="49.7109375" style="3" customWidth="1"/>
    <col min="6" max="6" width="21.7109375" customWidth="1"/>
  </cols>
  <sheetData>
    <row r="1" spans="1:8" x14ac:dyDescent="0.25">
      <c r="A1" s="4"/>
      <c r="B1" s="5" t="s">
        <v>24</v>
      </c>
      <c r="C1" s="5"/>
      <c r="D1" s="5"/>
      <c r="E1" s="5"/>
      <c r="F1" s="5"/>
      <c r="G1" s="6" t="s">
        <v>23</v>
      </c>
      <c r="H1" s="6"/>
    </row>
    <row r="2" spans="1:8" s="1" customFormat="1" x14ac:dyDescent="0.25">
      <c r="A2" s="4" t="s">
        <v>0</v>
      </c>
      <c r="B2" s="7" t="s">
        <v>1</v>
      </c>
      <c r="C2" s="4" t="s">
        <v>4</v>
      </c>
      <c r="D2" s="4" t="s">
        <v>10</v>
      </c>
      <c r="E2" s="4" t="s">
        <v>9</v>
      </c>
      <c r="F2" s="4" t="s">
        <v>13</v>
      </c>
      <c r="G2" s="4" t="s">
        <v>10</v>
      </c>
      <c r="H2" s="4" t="s">
        <v>25</v>
      </c>
    </row>
    <row r="3" spans="1:8" ht="45" x14ac:dyDescent="0.25">
      <c r="A3" s="4">
        <v>1</v>
      </c>
      <c r="B3" s="8" t="s">
        <v>2</v>
      </c>
      <c r="C3" s="9">
        <v>1</v>
      </c>
      <c r="D3" s="9">
        <v>8</v>
      </c>
      <c r="E3" s="9">
        <f>D3*C3</f>
        <v>8</v>
      </c>
      <c r="F3" s="9" t="s">
        <v>14</v>
      </c>
      <c r="G3" s="9" t="s">
        <v>32</v>
      </c>
      <c r="H3" s="9"/>
    </row>
    <row r="4" spans="1:8" x14ac:dyDescent="0.25">
      <c r="A4" s="4">
        <v>2</v>
      </c>
      <c r="B4" s="8" t="s">
        <v>3</v>
      </c>
      <c r="C4" s="9">
        <v>4</v>
      </c>
      <c r="D4" s="9">
        <v>7</v>
      </c>
      <c r="E4" s="9">
        <f t="shared" ref="E4:E15" si="0">D4*C4</f>
        <v>28</v>
      </c>
      <c r="F4" s="9" t="s">
        <v>14</v>
      </c>
      <c r="G4" s="9" t="s">
        <v>32</v>
      </c>
      <c r="H4" s="9"/>
    </row>
    <row r="5" spans="1:8" x14ac:dyDescent="0.25">
      <c r="A5" s="4">
        <v>3</v>
      </c>
      <c r="B5" s="8" t="s">
        <v>5</v>
      </c>
      <c r="C5" s="9">
        <v>4</v>
      </c>
      <c r="D5" s="9">
        <v>21</v>
      </c>
      <c r="E5" s="9">
        <f t="shared" si="0"/>
        <v>84</v>
      </c>
      <c r="F5" s="9" t="s">
        <v>14</v>
      </c>
      <c r="G5" s="9" t="s">
        <v>28</v>
      </c>
      <c r="H5" s="9"/>
    </row>
    <row r="6" spans="1:8" ht="30" x14ac:dyDescent="0.25">
      <c r="A6" s="4">
        <v>4</v>
      </c>
      <c r="B6" s="8" t="s">
        <v>6</v>
      </c>
      <c r="C6" s="9">
        <v>1</v>
      </c>
      <c r="D6" s="9">
        <v>225</v>
      </c>
      <c r="E6" s="9">
        <f t="shared" si="0"/>
        <v>225</v>
      </c>
      <c r="F6" s="10" t="s">
        <v>22</v>
      </c>
      <c r="G6" s="9" t="s">
        <v>26</v>
      </c>
      <c r="H6" s="9" t="s">
        <v>27</v>
      </c>
    </row>
    <row r="7" spans="1:8" ht="30" x14ac:dyDescent="0.25">
      <c r="A7" s="4">
        <v>5</v>
      </c>
      <c r="B7" s="8" t="s">
        <v>7</v>
      </c>
      <c r="C7" s="9">
        <v>1</v>
      </c>
      <c r="D7" s="9">
        <v>85</v>
      </c>
      <c r="E7" s="9">
        <f t="shared" si="0"/>
        <v>85</v>
      </c>
      <c r="F7" s="10" t="s">
        <v>21</v>
      </c>
      <c r="G7" s="9" t="s">
        <v>31</v>
      </c>
      <c r="H7" s="9"/>
    </row>
    <row r="8" spans="1:8" x14ac:dyDescent="0.25">
      <c r="A8" s="4">
        <v>6</v>
      </c>
      <c r="B8" s="8" t="s">
        <v>12</v>
      </c>
      <c r="C8" s="9">
        <v>1</v>
      </c>
      <c r="D8" s="9">
        <v>56</v>
      </c>
      <c r="E8" s="9">
        <f t="shared" si="0"/>
        <v>56</v>
      </c>
      <c r="F8" s="9" t="s">
        <v>14</v>
      </c>
      <c r="G8" s="9" t="s">
        <v>30</v>
      </c>
      <c r="H8" s="9" t="s">
        <v>29</v>
      </c>
    </row>
    <row r="9" spans="1:8" x14ac:dyDescent="0.25">
      <c r="A9" s="4">
        <v>7</v>
      </c>
      <c r="B9" s="8" t="s">
        <v>8</v>
      </c>
      <c r="C9" s="9">
        <v>2</v>
      </c>
      <c r="D9" s="9">
        <v>13</v>
      </c>
      <c r="E9" s="9">
        <f t="shared" si="0"/>
        <v>26</v>
      </c>
      <c r="F9" s="9" t="s">
        <v>15</v>
      </c>
      <c r="G9" s="9" t="s">
        <v>32</v>
      </c>
      <c r="H9" s="9"/>
    </row>
    <row r="10" spans="1:8" x14ac:dyDescent="0.25">
      <c r="A10" s="4">
        <v>8</v>
      </c>
      <c r="B10" s="8" t="s">
        <v>17</v>
      </c>
      <c r="C10" s="9">
        <v>4</v>
      </c>
      <c r="D10" s="9">
        <v>0.98</v>
      </c>
      <c r="E10" s="9">
        <f t="shared" si="0"/>
        <v>3.92</v>
      </c>
      <c r="F10" s="9" t="s">
        <v>15</v>
      </c>
      <c r="G10" s="9" t="s">
        <v>32</v>
      </c>
      <c r="H10" s="9"/>
    </row>
    <row r="11" spans="1:8" ht="30" x14ac:dyDescent="0.25">
      <c r="A11" s="4">
        <v>9</v>
      </c>
      <c r="B11" s="8" t="s">
        <v>18</v>
      </c>
      <c r="C11" s="9">
        <v>8</v>
      </c>
      <c r="D11" s="9">
        <v>0.5</v>
      </c>
      <c r="E11" s="9">
        <f t="shared" si="0"/>
        <v>4</v>
      </c>
      <c r="F11" s="9" t="s">
        <v>15</v>
      </c>
      <c r="G11" s="9" t="s">
        <v>32</v>
      </c>
      <c r="H11" s="9"/>
    </row>
    <row r="12" spans="1:8" x14ac:dyDescent="0.25">
      <c r="A12" s="4">
        <v>10</v>
      </c>
      <c r="B12" s="8" t="s">
        <v>19</v>
      </c>
      <c r="C12" s="9">
        <v>12</v>
      </c>
      <c r="D12" s="9">
        <v>0.45</v>
      </c>
      <c r="E12" s="9">
        <f t="shared" si="0"/>
        <v>5.4</v>
      </c>
      <c r="F12" s="9" t="s">
        <v>15</v>
      </c>
      <c r="G12" s="9" t="s">
        <v>32</v>
      </c>
      <c r="H12" s="9"/>
    </row>
    <row r="13" spans="1:8" x14ac:dyDescent="0.25">
      <c r="A13" s="4">
        <v>11</v>
      </c>
      <c r="B13" s="8" t="s">
        <v>20</v>
      </c>
      <c r="C13" s="9">
        <v>4</v>
      </c>
      <c r="D13" s="9">
        <v>0.7</v>
      </c>
      <c r="E13" s="9">
        <f t="shared" si="0"/>
        <v>2.8</v>
      </c>
      <c r="F13" s="9" t="s">
        <v>15</v>
      </c>
      <c r="G13" s="9" t="s">
        <v>32</v>
      </c>
      <c r="H13" s="9"/>
    </row>
    <row r="14" spans="1:8" x14ac:dyDescent="0.25">
      <c r="A14" s="4">
        <v>12</v>
      </c>
      <c r="B14" s="8" t="s">
        <v>37</v>
      </c>
      <c r="C14" s="9">
        <v>4</v>
      </c>
      <c r="D14" s="9">
        <v>0.5</v>
      </c>
      <c r="E14" s="9">
        <f t="shared" si="0"/>
        <v>2</v>
      </c>
      <c r="F14" s="9" t="s">
        <v>15</v>
      </c>
      <c r="G14" s="9" t="s">
        <v>32</v>
      </c>
      <c r="H14" s="9"/>
    </row>
    <row r="15" spans="1:8" x14ac:dyDescent="0.25">
      <c r="A15" s="4">
        <v>13</v>
      </c>
      <c r="B15" s="8" t="s">
        <v>33</v>
      </c>
      <c r="C15" s="9">
        <v>1</v>
      </c>
      <c r="D15" s="9">
        <v>25</v>
      </c>
      <c r="E15" s="9">
        <f t="shared" si="0"/>
        <v>25</v>
      </c>
      <c r="F15" s="9" t="s">
        <v>34</v>
      </c>
      <c r="G15" s="9" t="s">
        <v>36</v>
      </c>
      <c r="H15" s="9" t="s">
        <v>35</v>
      </c>
    </row>
    <row r="16" spans="1:8" x14ac:dyDescent="0.25">
      <c r="D16" s="1" t="s">
        <v>11</v>
      </c>
      <c r="E16" s="1">
        <f>SUM(E3:E15)</f>
        <v>555.11999999999989</v>
      </c>
    </row>
    <row r="18" spans="5:5" x14ac:dyDescent="0.25">
      <c r="E18" s="2" t="s">
        <v>16</v>
      </c>
    </row>
  </sheetData>
  <mergeCells count="2">
    <mergeCell ref="B1:F1"/>
    <mergeCell ref="G1:H1"/>
  </mergeCells>
  <hyperlinks>
    <hyperlink ref="F7" r:id="rId1"/>
    <hyperlink ref="F6" r:id="rId2"/>
  </hyperlinks>
  <pageMargins left="0.7" right="0.7" top="0.75" bottom="0.75" header="0.3" footer="0.3"/>
  <pageSetup paperSize="9" orientation="portrait"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opLeftCell="A58" workbookViewId="0">
      <selection activeCell="U69" sqref="U69"/>
    </sheetView>
  </sheetViews>
  <sheetFormatPr defaultRowHeight="15" x14ac:dyDescent="0.2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BOM</vt:lpstr>
      <vt:lpstr>rate_manual 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lanovo</dc:creator>
  <cp:lastModifiedBy>lanovo</cp:lastModifiedBy>
  <dcterms:created xsi:type="dcterms:W3CDTF">2026-01-28T07:49:54Z</dcterms:created>
  <dcterms:modified xsi:type="dcterms:W3CDTF">2026-01-28T12:41:13Z</dcterms:modified>
</cp:coreProperties>
</file>